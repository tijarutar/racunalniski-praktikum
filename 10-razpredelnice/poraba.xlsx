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ijar\Documents\faks\RP\racunalniski-praktikum\10-razpredelnice\"/>
    </mc:Choice>
  </mc:AlternateContent>
  <xr:revisionPtr revIDLastSave="0" documentId="13_ncr:1_{F1750D4D-15EA-44DF-BF58-F24DF9A455AB}" xr6:coauthVersionLast="47" xr6:coauthVersionMax="47" xr10:uidLastSave="{00000000-0000-0000-0000-000000000000}"/>
  <bookViews>
    <workbookView xWindow="-90" yWindow="0" windowWidth="15320" windowHeight="1473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18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<sst xmlns="http://schemas.openxmlformats.org/spreadsheetml/2006/main" count="20" uniqueCount="20">
  <si>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</si>
  <si>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</si>
  <si>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</si>
  <si>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</si>
  <si>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</si>
  <si>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</si>
  <si>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</si>
  <si>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</si>
  <si>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</si>
  <si>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</si>
  <si>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Jun</t>
  </si>
  <si>
    <t>May</t>
  </si>
  <si>
    <t>Oct</t>
  </si>
  <si>
    <t>Jul</t>
  </si>
  <si>
    <t>Aug</t>
  </si>
  <si>
    <t>Sep</t>
  </si>
  <si>
    <t>Skupaj prevoženo</t>
  </si>
  <si>
    <t>Povprečna poraba</t>
  </si>
  <si>
    <t>Values</t>
  </si>
  <si>
    <t>Mesec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</si>
</sst>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6" formatCode="[$€-2]\ #,##0.00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none">
          <fgColor indexed="64"/>
          <bgColor auto="1"/>
        </patternFill>
      </fill>
    </dxf>
    <dxf>
      <numFmt numFmtId="166" formatCode="[$€-2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ja Rutar" refreshedDate="45999.220559953705" createdVersion="8" refreshedVersion="8" minRefreshableVersion="3" recordCount="19" xr:uid="{A7E06B62-1B57-444A-917F-297CE4C072F4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166">
      <sharedItems containsSemiMixedTypes="0" containsString="0" containsNumber="1" minValue="47.043279999999996" maxValue="64.431119999999993"/>
    </cacheField>
    <cacheField name="Števec" numFmtId="3">
      <sharedItems containsSemiMixedTypes="0" containsString="0" containsNumber="1" containsInteger="1" minValue="41907" maxValue="52176"/>
    </cacheField>
    <cacheField name="Prevoženo" numFmtId="3">
      <sharedItems containsString="0" containsBlank="1" containsNumber="1" containsInteger="1" minValue="446" maxValue="683" count="19">
        <m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String="0" containsBlank="1" containsNumber="1" minValue="6.3103953147877023" maxValue="8.1008968609865484"/>
    </cacheField>
    <cacheField name="Days (Datum)" numFmtId="0" databaseField="0">
      <fieldGroup base="0">
        <rangePr groupBy="days" startDate="2023-05-05T00:00:00" endDate="2023-10-15T00:00:00"/>
        <groupItems count="368">
          <s v="&lt;5/5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15/2023"/>
        </groupItems>
      </fieldGroup>
    </cacheField>
    <cacheField name="Months (Datum)" numFmtId="0" databaseField="0">
      <fieldGroup base="0">
        <rangePr groupBy="months" startDate="2023-05-05T00:00:00" endDate="2023-10-15T00:00:00"/>
        <groupItems count="14">
          <s v="&lt;5/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5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m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44"/>
  </r>
  <r>
    <x v="3"/>
    <n v="34.04"/>
    <n v="47.043279999999996"/>
    <n v="43696"/>
    <x v="3"/>
    <x v="3"/>
    <n v="6.6097087378640769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23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66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21"/>
  </r>
  <r>
    <x v="11"/>
    <n v="37.18"/>
    <n v="56.178979999999996"/>
    <n v="48407"/>
    <x v="11"/>
    <x v="11"/>
    <n v="6.8851851851851844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59.814560000000007"/>
    <n v="50012"/>
    <x v="14"/>
    <x v="14"/>
    <n v="7.2819548872180455"/>
  </r>
  <r>
    <x v="15"/>
    <n v="36.130000000000003"/>
    <n v="55.784720000000007"/>
    <n v="50458"/>
    <x v="15"/>
    <x v="15"/>
    <n v="8.1008968609865484"/>
  </r>
  <r>
    <x v="16"/>
    <n v="38.51"/>
    <n v="59.459440000000001"/>
    <n v="50991"/>
    <x v="16"/>
    <x v="16"/>
    <n v="7.2251407129455911"/>
  </r>
  <r>
    <x v="17"/>
    <n v="38.840000000000003"/>
    <n v="59.96896000000001"/>
    <n v="51593"/>
    <x v="17"/>
    <x v="17"/>
    <n v="6.4518272425249172"/>
  </r>
  <r>
    <x v="18"/>
    <n v="41.73"/>
    <n v="64.431119999999993"/>
    <n v="52176"/>
    <x v="18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0FB69-8E8E-4B2D-83CC-B17181454E9E}" name="PivotTable13" cacheId="18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olHeaderCaption="Mesec">
  <location ref="B30:H33" firstHeaderRow="1" firstDataRow="2" firstDataCol="1"/>
  <pivotFields count="9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166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8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prevoženo" fld="4" baseField="8" baseItem="5"/>
    <dataField name="Povprečna poraba" fld="5" subtotal="average" baseField="8" baseItem="5"/>
  </dataFields>
  <formats count="1">
    <format dxfId="1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4"/>
    <tableColumn id="2" xr3:uid="{6DC2697C-FCB3-8A47-945B-8CD05834AA8C}" uniqueName="2" name="Litri" queryTableFieldId="2" dataDxfId="13"/>
    <tableColumn id="3" xr3:uid="{19DBC541-3ADF-4E48-8786-6E42DA219788}" uniqueName="3" name="Plačano" queryTableFieldId="3" dataDxfId="4"/>
    <tableColumn id="4" xr3:uid="{3238A9AD-2FC0-0E49-9EE3-7019C05B366B}" uniqueName="4" name="Števec" queryTableFieldId="4" dataDxfId="12"/>
    <tableColumn id="5" xr3:uid="{E0B5480D-9C8F-CA4C-941D-AE9FDE0CDFDC}" uniqueName="5" name="Prevoženo" queryTableFieldId="5" dataDxfId="11"/>
    <tableColumn id="6" xr3:uid="{1DEAFC6B-8470-6742-BAB3-957B7429D133}" uniqueName="6" name="Poraba" queryTableFieldId="6" dataDxfId="10"/>
    <tableColumn id="11" xr3:uid="{911769A8-5CFE-8245-A64B-38797D90A3B5}" uniqueName="11" name="Prikaz" queryTableFieldId="11" dataDxfId="3">
      <calculatedColumnFormula>100*(realna_poraba_cupra__2[[#This Row],[Litri]]/realna_poraba_cupra__2[[#This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9" tableBorderDxfId="8" totalsRowBorderDxfId="7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6"/>
    <tableColumn id="2" xr3:uid="{079EA12A-47EB-F54A-8E37-30D8BCE75150}" name="Bencin" dataDxfId="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3"/>
  <sheetViews>
    <sheetView tabSelected="1" zoomScale="83" zoomScaleNormal="120" workbookViewId="0">
      <selection activeCell="I24" sqref="I24"/>
    </sheetView>
  </sheetViews>
  <sheetFormatPr defaultColWidth="10.90625" defaultRowHeight="14.5" x14ac:dyDescent="0.35"/>
  <cols>
    <col min="1" max="1" width="3.81640625" customWidth="1"/>
    <col min="2" max="2" width="16.08984375" bestFit="1" customWidth="1"/>
    <col min="3" max="3" width="9.08984375" bestFit="1" customWidth="1"/>
    <col min="4" max="4" width="11.81640625" customWidth="1"/>
    <col min="5" max="5" width="10.6328125" customWidth="1"/>
    <col min="6" max="6" width="13" customWidth="1"/>
    <col min="7" max="8" width="11.7265625" customWidth="1"/>
    <col min="9" max="9" width="11.81640625" bestFit="1" customWidth="1"/>
    <col min="10" max="13" width="16.26953125" bestFit="1" customWidth="1"/>
    <col min="14" max="14" width="20.7265625" bestFit="1" customWidth="1"/>
    <col min="15" max="15" width="21.08984375" bestFit="1" customWidth="1"/>
    <col min="16" max="16" width="8.54296875" bestFit="1" customWidth="1"/>
    <col min="17" max="17" width="13.6328125" bestFit="1" customWidth="1"/>
    <col min="18" max="18" width="21.36328125" bestFit="1" customWidth="1"/>
    <col min="19" max="19" width="8.54296875" bestFit="1" customWidth="1"/>
    <col min="20" max="20" width="13.6328125" bestFit="1" customWidth="1"/>
    <col min="21" max="21" width="21.36328125" bestFit="1" customWidth="1"/>
    <col min="22" max="22" width="8.54296875" bestFit="1" customWidth="1"/>
    <col min="23" max="23" width="13.6328125" bestFit="1" customWidth="1"/>
    <col min="24" max="24" width="21.36328125" bestFit="1" customWidth="1"/>
    <col min="25" max="25" width="8.54296875" bestFit="1" customWidth="1"/>
    <col min="26" max="26" width="13.6328125" bestFit="1" customWidth="1"/>
    <col min="27" max="27" width="20.26953125" bestFit="1" customWidth="1"/>
    <col min="28" max="28" width="8.54296875" bestFit="1" customWidth="1"/>
    <col min="29" max="29" width="13.6328125" bestFit="1" customWidth="1"/>
    <col min="30" max="30" width="21.36328125" bestFit="1" customWidth="1"/>
    <col min="31" max="31" width="8.54296875" bestFit="1" customWidth="1"/>
    <col min="32" max="32" width="12.6328125" bestFit="1" customWidth="1"/>
    <col min="33" max="33" width="21.36328125" bestFit="1" customWidth="1"/>
    <col min="34" max="34" width="8.54296875" bestFit="1" customWidth="1"/>
    <col min="35" max="35" width="13.6328125" bestFit="1" customWidth="1"/>
    <col min="36" max="36" width="21.36328125" bestFit="1" customWidth="1"/>
    <col min="37" max="37" width="8.54296875" bestFit="1" customWidth="1"/>
    <col min="38" max="38" width="13.6328125" bestFit="1" customWidth="1"/>
    <col min="39" max="39" width="21.36328125" bestFit="1" customWidth="1"/>
    <col min="40" max="40" width="8.54296875" bestFit="1" customWidth="1"/>
    <col min="41" max="41" width="13.6328125" bestFit="1" customWidth="1"/>
    <col min="42" max="42" width="21.36328125" bestFit="1" customWidth="1"/>
    <col min="43" max="43" width="8.54296875" bestFit="1" customWidth="1"/>
    <col min="44" max="44" width="13.6328125" bestFit="1" customWidth="1"/>
    <col min="45" max="45" width="21.36328125" bestFit="1" customWidth="1"/>
    <col min="46" max="46" width="8.54296875" bestFit="1" customWidth="1"/>
    <col min="47" max="47" width="12.6328125" bestFit="1" customWidth="1"/>
    <col min="48" max="48" width="21.36328125" bestFit="1" customWidth="1"/>
    <col min="49" max="49" width="8.54296875" bestFit="1" customWidth="1"/>
    <col min="50" max="50" width="13.6328125" bestFit="1" customWidth="1"/>
    <col min="51" max="51" width="21.36328125" bestFit="1" customWidth="1"/>
    <col min="52" max="52" width="8.54296875" bestFit="1" customWidth="1"/>
    <col min="53" max="53" width="13.6328125" bestFit="1" customWidth="1"/>
    <col min="54" max="54" width="20.26953125" bestFit="1" customWidth="1"/>
    <col min="55" max="56" width="8.54296875" bestFit="1" customWidth="1"/>
    <col min="57" max="57" width="5.54296875" bestFit="1" customWidth="1"/>
    <col min="58" max="58" width="11.453125" bestFit="1" customWidth="1"/>
    <col min="59" max="59" width="10.7265625" bestFit="1" customWidth="1"/>
  </cols>
  <sheetData>
    <row r="2" spans="2:11" x14ac:dyDescent="0.3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5">
      <c r="B3" s="1">
        <v>45051</v>
      </c>
      <c r="C3" s="3">
        <v>41.17</v>
      </c>
      <c r="D3" s="6">
        <f xml:space="preserve"> C3 * INDEX($K$3:$K$20,MATCH(B3,$J$3:$J$20,1))</f>
        <v>58.296720000000001</v>
      </c>
      <c r="E3" s="2">
        <v>41907</v>
      </c>
      <c r="F3" s="2"/>
      <c r="G3" t="s">
        <v>4</v>
      </c>
      <c r="H3" s="3"/>
      <c r="J3" s="1">
        <v>44930</v>
      </c>
      <c r="K3" s="4">
        <v>1.276</v>
      </c>
    </row>
    <row r="4" spans="2:11" x14ac:dyDescent="0.35">
      <c r="B4" s="1">
        <v>45059</v>
      </c>
      <c r="C4" s="3">
        <v>43.02</v>
      </c>
      <c r="D4" s="6">
        <f xml:space="preserve"> C4 * INDEX($K$3:$K$20,MATCH(B4,$J$3:$J$20,1))</f>
        <v>59.797800000000002</v>
      </c>
      <c r="E4" s="2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f>100*(realna_poraba_cupra__2[[#This Row],[Litri]]/realna_poraba_cupra__2[[#This Row],[Prevoženo]])</f>
        <v>7.006514657980456</v>
      </c>
      <c r="J4" s="1">
        <v>44943</v>
      </c>
      <c r="K4" s="4">
        <v>1.288</v>
      </c>
    </row>
    <row r="5" spans="2:11" x14ac:dyDescent="0.35">
      <c r="B5" s="1">
        <v>45068</v>
      </c>
      <c r="C5" s="3">
        <v>41.67</v>
      </c>
      <c r="D5" s="6">
        <f t="shared" ref="D5:D21" si="0" xml:space="preserve"> C5 * INDEX($K$3:$K$20,MATCH(B5,$J$3:$J$20,1))</f>
        <v>57.921299999999995</v>
      </c>
      <c r="E5" s="2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f>100*(realna_poraba_cupra__2[[#This Row],[Litri]]/realna_poraba_cupra__2[[#This Row],[Prevoženo]])</f>
        <v>6.3136363636363644</v>
      </c>
      <c r="J5" s="1">
        <v>44957</v>
      </c>
      <c r="K5" s="4">
        <v>1.355</v>
      </c>
    </row>
    <row r="6" spans="2:11" x14ac:dyDescent="0.35">
      <c r="B6" s="1">
        <v>45073</v>
      </c>
      <c r="C6" s="3">
        <v>34.04</v>
      </c>
      <c r="D6" s="6">
        <f t="shared" si="0"/>
        <v>47.043279999999996</v>
      </c>
      <c r="E6" s="2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f>100*(realna_poraba_cupra__2[[#This Row],[Litri]]/realna_poraba_cupra__2[[#This Row],[Prevoženo]])</f>
        <v>6.6097087378640769</v>
      </c>
      <c r="J6" s="1">
        <v>44971</v>
      </c>
      <c r="K6" s="4">
        <v>1.355</v>
      </c>
    </row>
    <row r="7" spans="2:11" x14ac:dyDescent="0.35">
      <c r="B7" s="1">
        <v>45085</v>
      </c>
      <c r="C7" s="3">
        <v>42.42</v>
      </c>
      <c r="D7" s="6">
        <f t="shared" si="0"/>
        <v>59.897039999999997</v>
      </c>
      <c r="E7" s="2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f>100*(realna_poraba_cupra__2[[#This Row],[Litri]]/realna_poraba_cupra__2[[#This Row],[Prevoženo]])</f>
        <v>6.8640776699029127</v>
      </c>
      <c r="J7" s="1">
        <v>44985</v>
      </c>
      <c r="K7" s="4">
        <v>1.359</v>
      </c>
    </row>
    <row r="8" spans="2:11" x14ac:dyDescent="0.35">
      <c r="B8" s="1">
        <v>45093</v>
      </c>
      <c r="C8" s="3">
        <v>43.1</v>
      </c>
      <c r="D8" s="6">
        <f t="shared" si="0"/>
        <v>60.857199999999999</v>
      </c>
      <c r="E8" s="2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f>100*(realna_poraba_cupra__2[[#This Row],[Litri]]/realna_poraba_cupra__2[[#This Row],[Prevoženo]])</f>
        <v>6.3103953147877023</v>
      </c>
      <c r="J8" s="1">
        <v>44999</v>
      </c>
      <c r="K8" s="4">
        <v>1.3740000000000001</v>
      </c>
    </row>
    <row r="9" spans="2:11" x14ac:dyDescent="0.35">
      <c r="B9" s="1">
        <v>45099</v>
      </c>
      <c r="C9" s="3">
        <v>38.18</v>
      </c>
      <c r="D9" s="6">
        <f t="shared" si="0"/>
        <v>54.368319999999997</v>
      </c>
      <c r="E9" s="2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f>100*(realna_poraba_cupra__2[[#This Row],[Litri]]/realna_poraba_cupra__2[[#This Row],[Prevoženo]])</f>
        <v>6.9544626593806917</v>
      </c>
      <c r="J9" s="1">
        <v>45013</v>
      </c>
      <c r="K9" s="4">
        <v>1.3740000000000001</v>
      </c>
    </row>
    <row r="10" spans="2:11" x14ac:dyDescent="0.35">
      <c r="B10" s="1">
        <v>45113</v>
      </c>
      <c r="C10" s="3">
        <v>40.659999999999997</v>
      </c>
      <c r="D10" s="6">
        <f t="shared" si="0"/>
        <v>58.713039999999992</v>
      </c>
      <c r="E10" s="2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f>100*(realna_poraba_cupra__2[[#This Row],[Litri]]/realna_poraba_cupra__2[[#This Row],[Prevoženo]])</f>
        <v>7.0103448275862066</v>
      </c>
      <c r="J10" s="1">
        <v>45028</v>
      </c>
      <c r="K10" s="4">
        <v>1.4159999999999999</v>
      </c>
    </row>
    <row r="11" spans="2:11" x14ac:dyDescent="0.35">
      <c r="B11" s="1">
        <v>45122</v>
      </c>
      <c r="C11" s="3">
        <v>39.17</v>
      </c>
      <c r="D11" s="6">
        <f t="shared" si="0"/>
        <v>56.561480000000003</v>
      </c>
      <c r="E11" s="2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f>100*(realna_poraba_cupra__2[[#This Row],[Litri]]/realna_poraba_cupra__2[[#This Row],[Prevoženo]])</f>
        <v>6.9821746880570412</v>
      </c>
      <c r="J11" s="1">
        <v>45041</v>
      </c>
      <c r="K11" s="4">
        <v>1.4159999999999999</v>
      </c>
    </row>
    <row r="12" spans="2:11" x14ac:dyDescent="0.35">
      <c r="B12" s="1">
        <v>45129</v>
      </c>
      <c r="C12" s="3">
        <v>40.29</v>
      </c>
      <c r="D12" s="6">
        <f t="shared" si="0"/>
        <v>58.662239999999997</v>
      </c>
      <c r="E12" s="2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f>100*(realna_poraba_cupra__2[[#This Row],[Litri]]/realna_poraba_cupra__2[[#This Row],[Prevoženo]])</f>
        <v>7.1563055062166967</v>
      </c>
      <c r="J12" s="1">
        <v>45055</v>
      </c>
      <c r="K12" s="4">
        <v>1.39</v>
      </c>
    </row>
    <row r="13" spans="2:11" x14ac:dyDescent="0.35">
      <c r="B13" s="1">
        <v>45138</v>
      </c>
      <c r="C13" s="3">
        <v>41.01</v>
      </c>
      <c r="D13" s="6">
        <f t="shared" si="0"/>
        <v>59.710559999999994</v>
      </c>
      <c r="E13" s="2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f>100*(realna_poraba_cupra__2[[#This Row],[Litri]]/realna_poraba_cupra__2[[#This Row],[Prevoženo]])</f>
        <v>6.6466774716369521</v>
      </c>
      <c r="J13" s="1">
        <v>45069</v>
      </c>
      <c r="K13" s="4">
        <v>1.3819999999999999</v>
      </c>
    </row>
    <row r="14" spans="2:11" x14ac:dyDescent="0.35">
      <c r="B14" s="1">
        <v>45151</v>
      </c>
      <c r="C14" s="3">
        <v>37.18</v>
      </c>
      <c r="D14" s="6">
        <f t="shared" si="0"/>
        <v>56.178979999999996</v>
      </c>
      <c r="E14" s="2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f>100*(realna_poraba_cupra__2[[#This Row],[Litri]]/realna_poraba_cupra__2[[#This Row],[Prevoženo]])</f>
        <v>6.8851851851851844</v>
      </c>
      <c r="J14" s="1">
        <v>45083</v>
      </c>
      <c r="K14" s="4">
        <v>1.4119999999999999</v>
      </c>
    </row>
    <row r="15" spans="2:11" x14ac:dyDescent="0.35">
      <c r="B15" s="1">
        <v>45163</v>
      </c>
      <c r="C15" s="3">
        <v>41.46</v>
      </c>
      <c r="D15" s="6">
        <f t="shared" si="0"/>
        <v>62.646059999999999</v>
      </c>
      <c r="E15" s="2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f>100*(realna_poraba_cupra__2[[#This Row],[Litri]]/realna_poraba_cupra__2[[#This Row],[Prevoženo]])</f>
        <v>6.9331103678929766</v>
      </c>
      <c r="J15" s="1">
        <v>45097</v>
      </c>
      <c r="K15" s="4">
        <v>1.4239999999999999</v>
      </c>
    </row>
    <row r="16" spans="2:11" x14ac:dyDescent="0.35">
      <c r="B16" s="1">
        <v>45175</v>
      </c>
      <c r="C16" s="3">
        <v>35.97</v>
      </c>
      <c r="D16" s="6">
        <f t="shared" si="0"/>
        <v>55.537680000000002</v>
      </c>
      <c r="E16" s="2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f>100*(realna_poraba_cupra__2[[#This Row],[Litri]]/realna_poraba_cupra__2[[#This Row],[Prevoženo]])</f>
        <v>7.5726315789473686</v>
      </c>
      <c r="J16" s="1">
        <v>45111</v>
      </c>
      <c r="K16" s="4">
        <v>1.444</v>
      </c>
    </row>
    <row r="17" spans="2:11" x14ac:dyDescent="0.35">
      <c r="B17" s="1">
        <v>45184</v>
      </c>
      <c r="C17" s="3">
        <v>38.74</v>
      </c>
      <c r="D17" s="6">
        <f t="shared" si="0"/>
        <v>59.814560000000007</v>
      </c>
      <c r="E17" s="2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f>100*(realna_poraba_cupra__2[[#This Row],[Litri]]/realna_poraba_cupra__2[[#This Row],[Prevoženo]])</f>
        <v>7.2819548872180455</v>
      </c>
      <c r="J17" s="1">
        <v>45125</v>
      </c>
      <c r="K17" s="4">
        <v>1.456</v>
      </c>
    </row>
    <row r="18" spans="2:11" x14ac:dyDescent="0.35">
      <c r="B18" s="1">
        <v>45191</v>
      </c>
      <c r="C18" s="3">
        <v>36.130000000000003</v>
      </c>
      <c r="D18" s="6">
        <f t="shared" si="0"/>
        <v>55.784720000000007</v>
      </c>
      <c r="E18" s="2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f>100*(realna_poraba_cupra__2[[#This Row],[Litri]]/realna_poraba_cupra__2[[#This Row],[Prevoženo]])</f>
        <v>8.1008968609865484</v>
      </c>
      <c r="J18" s="1">
        <v>45139</v>
      </c>
      <c r="K18" s="4">
        <v>1.5109999999999999</v>
      </c>
    </row>
    <row r="19" spans="2:11" x14ac:dyDescent="0.35">
      <c r="B19" s="1">
        <v>45198</v>
      </c>
      <c r="C19" s="3">
        <v>38.51</v>
      </c>
      <c r="D19" s="6">
        <f t="shared" si="0"/>
        <v>59.459440000000001</v>
      </c>
      <c r="E19" s="2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f>100*(realna_poraba_cupra__2[[#This Row],[Litri]]/realna_poraba_cupra__2[[#This Row],[Prevoženo]])</f>
        <v>7.2251407129455911</v>
      </c>
      <c r="J19" s="1">
        <v>45155</v>
      </c>
      <c r="K19" s="4">
        <v>1.5109999999999999</v>
      </c>
    </row>
    <row r="20" spans="2:11" x14ac:dyDescent="0.35">
      <c r="B20" s="1">
        <v>45205</v>
      </c>
      <c r="C20" s="3">
        <v>38.840000000000003</v>
      </c>
      <c r="D20" s="6">
        <f t="shared" si="0"/>
        <v>59.96896000000001</v>
      </c>
      <c r="E20" s="2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f>100*(realna_poraba_cupra__2[[#This Row],[Litri]]/realna_poraba_cupra__2[[#This Row],[Prevoženo]])</f>
        <v>6.4518272425249172</v>
      </c>
      <c r="J20" s="1">
        <v>45167</v>
      </c>
      <c r="K20" s="4">
        <v>1.544</v>
      </c>
    </row>
    <row r="21" spans="2:11" x14ac:dyDescent="0.35">
      <c r="B21" s="1">
        <v>45213</v>
      </c>
      <c r="C21" s="3">
        <v>41.73</v>
      </c>
      <c r="D21" s="6">
        <f t="shared" si="0"/>
        <v>64.431119999999993</v>
      </c>
      <c r="E21" s="2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f>100*(realna_poraba_cupra__2[[#This Row],[Litri]]/realna_poraba_cupra__2[[#This Row],[Prevoženo]])</f>
        <v>7.1578044596912509</v>
      </c>
      <c r="J21" s="1">
        <v>45181</v>
      </c>
      <c r="K21" s="4">
        <v>1.5509999999999999</v>
      </c>
    </row>
    <row r="22" spans="2:11" x14ac:dyDescent="0.35">
      <c r="J22" s="1">
        <v>45195</v>
      </c>
      <c r="K22" s="4">
        <v>1.5880000000000001</v>
      </c>
    </row>
    <row r="23" spans="2:11" x14ac:dyDescent="0.35">
      <c r="J23" s="1">
        <v>45209</v>
      </c>
      <c r="K23" s="4">
        <v>1.536</v>
      </c>
    </row>
    <row r="24" spans="2:11" x14ac:dyDescent="0.35">
      <c r="J24" s="1">
        <v>45223</v>
      </c>
      <c r="K24" s="4">
        <v>1.536</v>
      </c>
    </row>
    <row r="25" spans="2:11" x14ac:dyDescent="0.35">
      <c r="J25" s="1">
        <v>45237</v>
      </c>
      <c r="K25" s="4">
        <v>1.534</v>
      </c>
    </row>
    <row r="26" spans="2:11" x14ac:dyDescent="0.35">
      <c r="E26" s="5"/>
    </row>
    <row r="27" spans="2:11" x14ac:dyDescent="0.35">
      <c r="E27" s="5"/>
    </row>
    <row r="28" spans="2:11" x14ac:dyDescent="0.35">
      <c r="E28" s="5"/>
    </row>
    <row r="29" spans="2:11" x14ac:dyDescent="0.35">
      <c r="E29" s="5"/>
    </row>
    <row r="30" spans="2:11" x14ac:dyDescent="0.35">
      <c r="C30" s="7" t="s">
        <v>19</v>
      </c>
    </row>
    <row r="31" spans="2:11" x14ac:dyDescent="0.35">
      <c r="B31" s="7" t="s">
        <v>18</v>
      </c>
      <c r="C31" t="s">
        <v>11</v>
      </c>
      <c r="D31" t="s">
        <v>10</v>
      </c>
      <c r="E31" t="s">
        <v>13</v>
      </c>
      <c r="F31" t="s">
        <v>14</v>
      </c>
      <c r="G31" t="s">
        <v>15</v>
      </c>
      <c r="H31" t="s">
        <v>12</v>
      </c>
    </row>
    <row r="32" spans="2:11" x14ac:dyDescent="0.35">
      <c r="B32" s="8" t="s">
        <v>16</v>
      </c>
      <c r="C32" s="9">
        <v>1789</v>
      </c>
      <c r="D32" s="9">
        <v>1850</v>
      </c>
      <c r="E32" s="9">
        <v>2321</v>
      </c>
      <c r="F32" s="9">
        <v>1138</v>
      </c>
      <c r="G32" s="9">
        <v>1986</v>
      </c>
      <c r="H32" s="9">
        <v>1185</v>
      </c>
    </row>
    <row r="33" spans="2:8" x14ac:dyDescent="0.35">
      <c r="B33" s="8" t="s">
        <v>17</v>
      </c>
      <c r="C33" s="3">
        <v>6.643286586493633</v>
      </c>
      <c r="D33" s="3">
        <v>6.7096452146904353</v>
      </c>
      <c r="E33" s="3">
        <v>6.9488756233742244</v>
      </c>
      <c r="F33" s="3">
        <v>6.909147776539081</v>
      </c>
      <c r="G33" s="3">
        <v>7.5451560100243888</v>
      </c>
      <c r="H33" s="3">
        <v>6.8048158511080841</v>
      </c>
    </row>
  </sheetData>
  <conditionalFormatting sqref="H4:H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{6FF7B8EA-60FD-423F-B626-C40D9728FC81}</x14:id>
        </ext>
      </extLst>
    </cfRule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{7109B5BA-A4A9-4919-8B0D-5CCD20101BDC}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{6403B810-9D0B-44AB-8949-5815883EB8D3}</x14:id>
        </ext>
      </extLst>
    </cfRule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{3AF2E70E-A5D2-4D1B-817D-BC7271257D1D}</x14:id>
        </ext>
      </extLst>
    </cfRule>
  </conditionalFormatting>
  <pageMargins left="0.7" right="0.7" top="0.75" bottom="0.75" header="0.3" footer="0.3"/>
  <pageSetup orientation="portrait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F7B8EA-60FD-423F-B626-C40D9728F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09B5BA-A4A9-4919-8B0D-5CCD20101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03B810-9D0B-44AB-8949-5815883EB8D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3AF2E70E-A5D2-4D1B-817D-BC7271257D1D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Tija Rutar</cp:lastModifiedBy>
  <dcterms:created xsi:type="dcterms:W3CDTF">2007-10-01T06:54:22Z</dcterms:created>
  <dcterms:modified xsi:type="dcterms:W3CDTF">2025-12-08T04:27:16Z</dcterms:modified>
</cp:coreProperties>
</file>
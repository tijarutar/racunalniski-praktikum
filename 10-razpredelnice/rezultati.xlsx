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ijar\Documents\faks\RP\racunalniski-praktikum\10-razpredelnice\"/>
    </mc:Choice>
  </mc:AlternateContent>
  <xr:revisionPtr revIDLastSave="0" documentId="13_ncr:1_{09C18BAD-D223-4C76-8220-709B80A05FCD}" xr6:coauthVersionLast="47" xr6:coauthVersionMax="47" xr10:uidLastSave="{00000000-0000-0000-0000-000000000000}"/>
  <bookViews>
    <workbookView xWindow="-110" yWindow="-110" windowWidth="23260" windowHeight="14860" firstSheet="2" activeTab="2" xr2:uid="{00000000-000D-0000-FFFF-FFFF00000000}"/>
  </bookViews>
  <sheets>
    <sheet name="Sheet1" sheetId="2" r:id="rId1"/>
    <sheet name="Sheet2" sheetId="3" r:id="rId2"/>
    <sheet name="Rezultati" sheetId="1" r:id="rId3"/>
  </sheets>
  <definedNames>
    <definedName name="_xlcn.WorksheetConnection_rezultati.xlsxRezultati1" hidden="1">Rezultati[]</definedName>
    <definedName name="_xlcn.WorksheetConnection_rezultati.xlsxSkupine1" hidden="1">Skupine[]</definedName>
    <definedName name="ExternalData_1" localSheetId="1" hidden="1">Sheet2!$A$3:$D$6</definedName>
  </definedNames>
  <calcPr calcId="191029"/>
  <pivotCaches>
    <pivotCache cacheId="162" r:id="rId4"/>
  </pivotCaches>
  <extLst>
    <ext xmlns:x15="http://schemas.microsoft.com/office/spreadsheetml/2010/11/main" uri="{FCE2AD5D-F65C-4FA6-A056-5C36A1767C68}">
      <x15:dataModel>
        <x15:modelTables>
          <x15:modelTable id="Rezultati" name="Rezultati" connection="WorksheetConnection_rezultati.xlsx!Rezultati"/>
          <x15:modelTable id="Skupine" name="Skupine" connection="WorksheetConnection_rezultati.xlsx!Skupin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J3" i="1"/>
  <c r="J4" i="1"/>
  <c r="J5" i="1"/>
  <c r="I3" i="1"/>
  <c r="I4" i="1"/>
  <c r="I5" i="1"/>
  <c r="F9" i="1"/>
  <c r="F5" i="1"/>
  <c r="F12" i="1"/>
  <c r="F22" i="1"/>
  <c r="F15" i="1"/>
  <c r="F14" i="1"/>
  <c r="F23" i="1"/>
  <c r="F10" i="1"/>
  <c r="F4" i="1"/>
  <c r="F8" i="1"/>
  <c r="F13" i="1"/>
  <c r="F6" i="1"/>
  <c r="F18" i="1"/>
  <c r="F24" i="1"/>
  <c r="F16" i="1"/>
  <c r="F21" i="1"/>
  <c r="F26" i="1"/>
  <c r="F11" i="1"/>
  <c r="F28" i="1"/>
  <c r="F20" i="1"/>
  <c r="F29" i="1"/>
  <c r="F7" i="1"/>
  <c r="F17" i="1"/>
  <c r="F3" i="1"/>
  <c r="F27" i="1"/>
  <c r="F19" i="1"/>
  <c r="F2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7DBED8-66AC-401A-906C-5B837D416E45}" keepAlive="1" name="ModelConnection_ExternalData_1" description="Data Model" type="5" refreshedVersion="8" minRefreshableVersion="5" saveData="1">
    <dbPr connection="Data Model Connection" command="DRILLTHROUGH MAXROWS 1000 SELECT FROM [Model] WHERE ([Measures].[Average of 2022]) RETURN [$Skupine].[Test],[$Skupine].[Udeležba],[$Skupine].[2022],[$Skupine].[2021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5F692351-5293-40C9-AAB2-658FCB0B869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B10328C-35D3-4F64-9A5D-B7FC4D77F580}" name="WorksheetConnection_rezultati.xlsx!Rezultati" type="102" refreshedVersion="8" minRefreshableVersion="5">
    <extLst>
      <ext xmlns:x15="http://schemas.microsoft.com/office/spreadsheetml/2010/11/main" uri="{DE250136-89BD-433C-8126-D09CA5730AF9}">
        <x15:connection id="Rezultati" autoDelete="1">
          <x15:rangePr sourceName="_xlcn.WorksheetConnection_rezultati.xlsxRezultati1"/>
        </x15:connection>
      </ext>
    </extLst>
  </connection>
  <connection id="4" xr16:uid="{02D5F96D-3062-49F5-9801-475338767D94}" name="WorksheetConnection_rezultati.xlsx!Skupine" type="102" refreshedVersion="8" minRefreshableVersion="5">
    <extLst>
      <ext xmlns:x15="http://schemas.microsoft.com/office/spreadsheetml/2010/11/main" uri="{DE250136-89BD-433C-8126-D09CA5730AF9}">
        <x15:connection id="Skupine">
          <x15:rangePr sourceName="_xlcn.WorksheetConnection_rezultati.xlsxSkupine1"/>
        </x15:connection>
      </ext>
    </extLst>
  </connection>
</connections>
</file>

<file path=xl/sharedStrings.xml><?xml version="1.0" encoding="utf-8"?>
<sst xmlns="http://schemas.openxmlformats.org/spreadsheetml/2006/main" count="115" uniqueCount="74">
  <si>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</si>
  <si>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</si>
  <si>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</si>
  <si>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</si>
  <si>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</si>
  <si>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</si>
  <si>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</si>
  <si>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</si>
  <si>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</si>
  <si>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</si>
  <si>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</si>
  <si>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</si>
  <si>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</si>
  <si>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</si>
  <si>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</si>
  <si>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</si>
  <si>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</si>
  <si>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</si>
  <si>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</si>
  <si>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</si>
  <si>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</si>
  <si>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</si>
  <si>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</si>
  <si>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</si>
  <si>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</si>
  <si>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</si>
  <si>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</si>
  <si>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</si>
  <si>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</si>
  <si>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</si>
  <si>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</si>
  <si>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</si>
  <si>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</si>
  <si>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</si>
  <si>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</si>
  <si>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</si>
  <si>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</si>
  <si>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</si>
  <si>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</si>
  <si>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</si>
  <si>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</si>
  <si>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</si>
  <si>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</si>
  <si>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</si>
  <si>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</si>
  <si>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</si>
  <si>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</si>
  <si>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</si>
  <si>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</si>
  <si>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</si>
  <si>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</si>
  <si>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</si>
  <si>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</si>
  <si>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</si>
  <si>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</si>
  <si>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</si>
  <si>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</si>
  <si>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</si>
  <si>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</si>
  <si>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</si>
  <si>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</si>
  <si>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</si>
  <si>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</si>
  <si>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</si>
  <si>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</si>
  <si>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</si>
  <si>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</si>
  <si>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Skupine[Test]</t>
  </si>
  <si>
    <t>Skupine[Udeležba]</t>
  </si>
  <si>
    <t>Skupine[2022]</t>
  </si>
  <si>
    <t>Skupine[2021]</t>
  </si>
  <si>
    <t>Data returned for Average of 2022 (First 1000 rows).</t>
  </si>
  <si>
    <t>MInimum</t>
  </si>
  <si>
    <t>Maksimum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</si>
</sst>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Število točk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'Rezultati'!$O$11</c:f>
              <c:strCache>
                <c:ptCount val="1"/>
                <c:pt idx="0">
                  <c:v>Maksimum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'Rezultati'!$O$12:$O$14</c:f>
              <c:numCache>
                <c:formatCode>General</c:formatCode>
                <c:ptCount val="3"/>
                <c:pt idx="0">
                  <c:v>94</c:v>
                </c:pt>
                <c:pt idx="1">
                  <c:v>100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2-4839-B59B-272449E75943}"/>
            </c:ext>
          </c:extLst>
        </c:ser>
        <c:ser>
          <c:idx val="1"/>
          <c:order val="1"/>
          <c:tx>
            <c:strRef>
              <c:f>'Rezultati'!$P$11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'Rezultati'!$P$12:$P$14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2-4839-B59B-272449E7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847743"/>
        <c:axId val="1673848223"/>
      </c:barChart>
      <c:catAx>
        <c:axId val="167384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73848223"/>
        <c:crosses val="autoZero"/>
        <c:auto val="1"/>
        <c:lblAlgn val="ctr"/>
        <c:lblOffset val="100"/>
        <c:noMultiLvlLbl val="0"/>
      </c:catAx>
      <c:valAx>
        <c:axId val="1673848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7384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277777777777776E-2"/>
          <c:y val="0.22004447360746568"/>
          <c:w val="0.81388888888888888"/>
          <c:h val="0.57479476523767858"/>
        </c:manualLayout>
      </c:layout>
      <c:pie3DChart>
        <c:varyColors val="1"/>
        <c:ser>
          <c:idx val="0"/>
          <c:order val="0"/>
          <c:tx>
            <c:strRef>
              <c:f>'Rezultati'!$H$23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23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8D-4022-AD3E-C99B8426BF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D8D-4022-AD3E-C99B8426BF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'Rezultati'!$H$24:$H$26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D-4022-AD3E-C99B8426B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187325</xdr:colOff>
      <xdr:row>9</xdr:row>
      <xdr:rowOff>50800</xdr:rowOff>
    </xdr:from>
    <xdr:to>
      <xdr:col>19</xdr:col>
      <xdr:colOff>447675</xdr:colOff>
      <xdr:row>24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BD26EB-1158-31C5-047D-635AD08C7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168275</xdr:colOff>
      <xdr:row>21</xdr:row>
      <xdr:rowOff>88900</xdr:rowOff>
    </xdr:from>
    <xdr:to>
      <xdr:col>13</xdr:col>
      <xdr:colOff>41275</xdr:colOff>
      <xdr:row>36</xdr:row>
      <xdr:rowOff>69850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F96E21D-BB65-47BB-EE66-D4BE0E1E6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ja Rutar" refreshedDate="45998.921300462964" createdVersion="8" refreshedVersion="8" minRefreshableVersion="3" recordCount="28" xr:uid="{09FB6BE5-A264-4C94-BFC7-30544DC01165}">
  <cacheSource type="worksheet">
    <worksheetSource name="Rezultati"/>
  </cacheSource>
  <cacheFields count="5">
    <cacheField name="Priimek" numFmtId="0">
      <sharedItems/>
    </cacheField>
    <cacheField name="Ime" numFmtId="0">
      <sharedItems count="27">
        <s v="Tomaž"/>
        <s v="Janja"/>
        <s v="Aleš"/>
        <s v="Luka"/>
        <s v="Sabina"/>
        <s v="Katja"/>
        <s v="Alenka"/>
        <s v="Jaka"/>
        <s v="Petra"/>
        <s v="Andraž"/>
        <s v="Kristina"/>
        <s v="Grega"/>
        <s v="Barbara"/>
        <s v="Mateja"/>
        <s v="Tatjana"/>
        <s v="Martin"/>
        <s v="Vesna"/>
        <s v="Primož"/>
        <s v="Matjaž"/>
        <s v="Andreja"/>
        <s v="Igor"/>
        <s v="Matej"/>
        <s v="Aleksander"/>
        <s v="Mojca"/>
        <s v="Valerija"/>
        <s v="Polona"/>
        <s v="Katarina"/>
      </sharedItems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 count="25">
        <n v="38"/>
        <n v="39"/>
        <n v="36"/>
        <n v="93"/>
        <n v="77"/>
        <n v="100"/>
        <n v="94"/>
        <n v="26"/>
        <n v="44"/>
        <n v="34"/>
        <n v="86"/>
        <n v="90"/>
        <n v="67"/>
        <n v="42"/>
        <n v="64"/>
        <n v="30"/>
        <n v="57"/>
        <n v="43"/>
        <n v="85"/>
        <n v="76"/>
        <n v="79"/>
        <n v="70"/>
        <n v="66"/>
        <n v="58"/>
        <n v="46"/>
      </sharedItems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x v="0"/>
    <x v="0"/>
    <x v="0"/>
    <s v="ne"/>
  </r>
  <r>
    <s v="Cvelbar"/>
    <x v="1"/>
    <x v="0"/>
    <x v="1"/>
    <s v="ne"/>
  </r>
  <r>
    <s v="Furlan"/>
    <x v="2"/>
    <x v="0"/>
    <x v="2"/>
    <s v="ne"/>
  </r>
  <r>
    <s v="Furlan"/>
    <x v="3"/>
    <x v="1"/>
    <x v="3"/>
    <s v="da"/>
  </r>
  <r>
    <s v="Iskra"/>
    <x v="4"/>
    <x v="1"/>
    <x v="4"/>
    <s v="da"/>
  </r>
  <r>
    <s v="Jerman"/>
    <x v="5"/>
    <x v="0"/>
    <x v="5"/>
    <s v="da"/>
  </r>
  <r>
    <s v="Karakaš"/>
    <x v="6"/>
    <x v="1"/>
    <x v="6"/>
    <s v="da"/>
  </r>
  <r>
    <s v="Karničar"/>
    <x v="7"/>
    <x v="2"/>
    <x v="7"/>
    <s v="ne"/>
  </r>
  <r>
    <s v="Kočar"/>
    <x v="8"/>
    <x v="0"/>
    <x v="8"/>
    <s v="ne"/>
  </r>
  <r>
    <s v="Kofol"/>
    <x v="9"/>
    <x v="2"/>
    <x v="9"/>
    <s v="ne"/>
  </r>
  <r>
    <s v="Korošec"/>
    <x v="10"/>
    <x v="0"/>
    <x v="10"/>
    <s v="da"/>
  </r>
  <r>
    <s v="Kržišnik"/>
    <x v="11"/>
    <x v="0"/>
    <x v="11"/>
    <s v="da"/>
  </r>
  <r>
    <s v="Kumar"/>
    <x v="12"/>
    <x v="0"/>
    <x v="12"/>
    <s v="da"/>
  </r>
  <r>
    <s v="Logar"/>
    <x v="13"/>
    <x v="1"/>
    <x v="13"/>
    <s v="ne"/>
  </r>
  <r>
    <s v="Obrenović"/>
    <x v="14"/>
    <x v="2"/>
    <x v="8"/>
    <s v="ne"/>
  </r>
  <r>
    <s v="Pance"/>
    <x v="15"/>
    <x v="0"/>
    <x v="14"/>
    <s v="da"/>
  </r>
  <r>
    <s v="Pleterski"/>
    <x v="16"/>
    <x v="2"/>
    <x v="15"/>
    <s v="ne"/>
  </r>
  <r>
    <s v="Puncer"/>
    <x v="17"/>
    <x v="1"/>
    <x v="16"/>
    <s v="da"/>
  </r>
  <r>
    <s v="Ribnikar"/>
    <x v="18"/>
    <x v="1"/>
    <x v="17"/>
    <s v="ne"/>
  </r>
  <r>
    <s v="Smrekar"/>
    <x v="19"/>
    <x v="1"/>
    <x v="0"/>
    <s v="ne"/>
  </r>
  <r>
    <s v="Štemberger"/>
    <x v="20"/>
    <x v="0"/>
    <x v="18"/>
    <s v="da"/>
  </r>
  <r>
    <s v="Šubašič"/>
    <x v="21"/>
    <x v="2"/>
    <x v="19"/>
    <s v="da"/>
  </r>
  <r>
    <s v="Tekavčič"/>
    <x v="22"/>
    <x v="1"/>
    <x v="9"/>
    <s v="ne"/>
  </r>
  <r>
    <s v="Tratnik"/>
    <x v="23"/>
    <x v="0"/>
    <x v="20"/>
    <s v="da"/>
  </r>
  <r>
    <s v="Trček"/>
    <x v="24"/>
    <x v="0"/>
    <x v="21"/>
    <s v="da"/>
  </r>
  <r>
    <s v="Vesel"/>
    <x v="25"/>
    <x v="2"/>
    <x v="22"/>
    <s v="da"/>
  </r>
  <r>
    <s v="Virant"/>
    <x v="17"/>
    <x v="2"/>
    <x v="23"/>
    <s v="da"/>
  </r>
  <r>
    <s v="Žveglič"/>
    <x v="26"/>
    <x v="1"/>
    <x v="24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4B278-C8E8-47A3-98F5-5FACFA06C134}" name="PivotTable8" cacheId="16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 rowHeaderCaption="Skupina">
  <location ref="H10:L13" firstHeaderRow="0" firstDataRow="1" firstDataCol="1"/>
  <pivotFields count="5">
    <pivotField showAll="0"/>
    <pivotField dataField="1" showAll="0">
      <items count="28">
        <item x="22"/>
        <item x="6"/>
        <item x="2"/>
        <item x="9"/>
        <item x="19"/>
        <item x="12"/>
        <item x="11"/>
        <item x="20"/>
        <item x="7"/>
        <item x="1"/>
        <item x="26"/>
        <item x="5"/>
        <item x="10"/>
        <item x="3"/>
        <item x="15"/>
        <item x="21"/>
        <item x="13"/>
        <item x="18"/>
        <item x="23"/>
        <item x="8"/>
        <item x="25"/>
        <item x="17"/>
        <item x="4"/>
        <item x="14"/>
        <item x="0"/>
        <item x="24"/>
        <item x="16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1" subtotal="count" baseField="2" baseItem="0"/>
    <dataField name="Povprečje" fld="3" subtotal="average" baseField="2" baseItem="0" numFmtId="2"/>
    <dataField name="Maksimum" fld="3" subtotal="max" baseField="2" baseItem="0"/>
    <dataField name="MInimum" fld="3" subtotal="min" baseField="2" baseItem="0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E203F73-0662-4221-9B94-F0FE8B349326}" autoFormatId="16" applyNumberFormats="0" applyBorderFormats="0" applyFontFormats="0" applyPatternFormats="0" applyAlignmentFormats="0" applyWidthHeightFormats="0">
  <queryTableRefresh nextId="5">
    <queryTableFields count="4">
      <queryTableField id="1" name="Skupine[Test]" tableColumnId="1"/>
      <queryTableField id="2" name="Skupine[Udeležba]" tableColumnId="2"/>
      <queryTableField id="3" name="Skupine[2022]" tableColumnId="3"/>
      <queryTableField id="4" name="Skupine[2021]" tableColumnId="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16087-87B9-40B1-8291-762099384453}" name="Table_ExternalData_1" displayName="Table_ExternalData_1" ref="A3:D6" tableType="queryTable" totalsRowShown="0">
  <autoFilter ref="A3:D6" xr:uid="{03A16087-87B9-40B1-8291-762099384453}"/>
  <tableColumns count="4">
    <tableColumn id="1" xr3:uid="{D5BD9C31-8862-46AE-ADB9-E3930F00328F}" uniqueName="1" name="Skupine[Test]" queryTableFieldId="1"/>
    <tableColumn id="2" xr3:uid="{3195F735-27BC-4F47-9105-7369478619E3}" uniqueName="2" name="Skupine[Udeležba]" queryTableFieldId="2"/>
    <tableColumn id="3" xr3:uid="{BA1CDF52-E5A4-4905-943C-5140F492F7BE}" uniqueName="3" name="Skupine[2022]" queryTableFieldId="3"/>
    <tableColumn id="4" xr3:uid="{29697A2C-1E2F-4A85-AD8D-56865A783DD8}" uniqueName="4" name="Skupine[2021]" queryTableField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IF(E3&gt;50, "da", "ne")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7">
      <calculatedColumnFormula>COUNTIF(Rezultati[Skupina],H3)</calculatedColumnFormula>
    </tableColumn>
    <tableColumn id="3" xr3:uid="{49F9352C-9597-4E44-8122-AF1CE6CE856F}" name="2022" dataDxfId="6">
      <calculatedColumnFormula>AVERAGEIF($D$3:$D$30, Skupine[[#This Row],[Test]], $E$3:$E$30)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63F8-EAE7-42DD-8A77-D825F403539E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BEA0-A441-4AFE-93F0-7A2CC1FC0A38}">
  <dimension ref="A1:D6"/>
  <sheetViews>
    <sheetView workbookViewId="0"/>
  </sheetViews>
  <sheetFormatPr defaultRowHeight="14.5" x14ac:dyDescent="0.35"/>
  <cols>
    <col min="1" max="1" width="14.54296875" bestFit="1" customWidth="1"/>
    <col min="2" max="2" width="18.81640625" bestFit="1" customWidth="1"/>
    <col min="3" max="4" width="15" bestFit="1" customWidth="1"/>
  </cols>
  <sheetData>
    <row r="1" spans="1:4" x14ac:dyDescent="0.35">
      <c r="A1" s="6" t="s">
        <v>71</v>
      </c>
    </row>
    <row r="3" spans="1:4" x14ac:dyDescent="0.35">
      <c r="A3" t="s">
        <v>67</v>
      </c>
      <c r="B3" t="s">
        <v>68</v>
      </c>
      <c r="C3" t="s">
        <v>69</v>
      </c>
      <c r="D3" t="s">
        <v>70</v>
      </c>
    </row>
    <row r="4" spans="1:4" x14ac:dyDescent="0.35">
      <c r="A4" t="s">
        <v>9</v>
      </c>
      <c r="B4">
        <v>9</v>
      </c>
      <c r="C4">
        <v>58.222222222222221</v>
      </c>
      <c r="D4">
        <v>66.84</v>
      </c>
    </row>
    <row r="5" spans="1:4" x14ac:dyDescent="0.35">
      <c r="A5" t="s">
        <v>12</v>
      </c>
      <c r="B5">
        <v>12</v>
      </c>
      <c r="C5">
        <v>66.5</v>
      </c>
      <c r="D5">
        <v>52.35</v>
      </c>
    </row>
    <row r="6" spans="1:4" x14ac:dyDescent="0.35">
      <c r="A6" t="s">
        <v>15</v>
      </c>
      <c r="B6">
        <v>7</v>
      </c>
      <c r="C6">
        <v>47.714285714285715</v>
      </c>
      <c r="D6">
        <v>49.66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0"/>
  <sheetViews>
    <sheetView tabSelected="1" workbookViewId="0">
      <selection activeCell="E32" sqref="E32"/>
    </sheetView>
  </sheetViews>
  <sheetFormatPr defaultColWidth="8.81640625" defaultRowHeight="14.5" x14ac:dyDescent="0.35"/>
  <cols>
    <col min="1" max="1" width="4.453125" customWidth="1"/>
    <col min="2" max="2" width="10" bestFit="1" customWidth="1"/>
    <col min="3" max="3" width="9.36328125" bestFit="1" customWidth="1"/>
    <col min="4" max="4" width="9.6328125" bestFit="1" customWidth="1"/>
    <col min="5" max="5" width="8.1796875" bestFit="1" customWidth="1"/>
    <col min="6" max="6" width="9.1796875" bestFit="1" customWidth="1"/>
    <col min="7" max="7" width="9.1796875" customWidth="1"/>
    <col min="8" max="8" width="9.7265625" bestFit="1" customWidth="1"/>
    <col min="9" max="9" width="8.54296875" bestFit="1" customWidth="1"/>
    <col min="10" max="10" width="11.81640625" bestFit="1" customWidth="1"/>
    <col min="11" max="11" width="10.1796875" bestFit="1" customWidth="1"/>
    <col min="12" max="12" width="9" bestFit="1" customWidth="1"/>
  </cols>
  <sheetData>
    <row r="2" spans="2:1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6" x14ac:dyDescent="0.35">
      <c r="B3" t="s">
        <v>62</v>
      </c>
      <c r="C3" t="s">
        <v>63</v>
      </c>
      <c r="D3" t="s">
        <v>12</v>
      </c>
      <c r="E3">
        <v>38</v>
      </c>
      <c r="F3" t="str">
        <f>IF(E3&gt;50, "da", "ne")</f>
        <v>ne</v>
      </c>
      <c r="H3" t="s">
        <v>9</v>
      </c>
      <c r="I3">
        <f>COUNTIF(Rezultati[Skupina],H3)</f>
        <v>9</v>
      </c>
      <c r="J3" s="1">
        <f>AVERAGEIF($D$3:$D$30, Skupine[[#This Row],[Test]], $E$3:$E$30)</f>
        <v>58.222222222222221</v>
      </c>
      <c r="K3">
        <v>66.84</v>
      </c>
    </row>
    <row r="4" spans="2:16" x14ac:dyDescent="0.35">
      <c r="B4" t="s">
        <v>34</v>
      </c>
      <c r="C4" t="s">
        <v>35</v>
      </c>
      <c r="D4" t="s">
        <v>12</v>
      </c>
      <c r="E4">
        <v>39</v>
      </c>
      <c r="F4" t="str">
        <f>IF(E4&gt;50, "da", "ne")</f>
        <v>ne</v>
      </c>
      <c r="H4" t="s">
        <v>12</v>
      </c>
      <c r="I4">
        <f>COUNTIF(Rezultati[Skupina],H4)</f>
        <v>12</v>
      </c>
      <c r="J4" s="1">
        <f>AVERAGEIF($D$3:$D$30, Skupine[[#This Row],[Test]], $E$3:$E$30)</f>
        <v>66.5</v>
      </c>
      <c r="K4">
        <v>52.35</v>
      </c>
    </row>
    <row r="5" spans="2:16" x14ac:dyDescent="0.35">
      <c r="B5" t="s">
        <v>7</v>
      </c>
      <c r="C5" t="s">
        <v>36</v>
      </c>
      <c r="D5" t="s">
        <v>12</v>
      </c>
      <c r="E5">
        <v>36</v>
      </c>
      <c r="F5" t="str">
        <f>IF(E5&gt;50, "da", "ne")</f>
        <v>ne</v>
      </c>
      <c r="H5" t="s">
        <v>15</v>
      </c>
      <c r="I5">
        <f>COUNTIF(Rezultati[Skupina],H5)</f>
        <v>7</v>
      </c>
      <c r="J5" s="1">
        <f>AVERAGEIF($D$3:$D$30, Skupine[[#This Row],[Test]], $E$3:$E$30)</f>
        <v>47.714285714285715</v>
      </c>
      <c r="K5">
        <v>49.66</v>
      </c>
    </row>
    <row r="6" spans="2:16" x14ac:dyDescent="0.35">
      <c r="B6" t="s">
        <v>7</v>
      </c>
      <c r="C6" t="s">
        <v>8</v>
      </c>
      <c r="D6" t="s">
        <v>9</v>
      </c>
      <c r="E6">
        <v>93</v>
      </c>
      <c r="F6" t="str">
        <f>IF(E6&gt;50, "da", "ne")</f>
        <v>da</v>
      </c>
    </row>
    <row r="7" spans="2:16" x14ac:dyDescent="0.35">
      <c r="B7" t="s">
        <v>37</v>
      </c>
      <c r="C7" t="s">
        <v>38</v>
      </c>
      <c r="D7" t="s">
        <v>9</v>
      </c>
      <c r="E7">
        <v>77</v>
      </c>
      <c r="F7" t="str">
        <f>IF(E7&gt;50, "da", "ne")</f>
        <v>da</v>
      </c>
    </row>
    <row r="8" spans="2:16" x14ac:dyDescent="0.35">
      <c r="B8" t="s">
        <v>39</v>
      </c>
      <c r="C8" t="s">
        <v>40</v>
      </c>
      <c r="D8" t="s">
        <v>12</v>
      </c>
      <c r="E8">
        <v>100</v>
      </c>
      <c r="F8" t="str">
        <f>IF(E8&gt;50, "da", "ne")</f>
        <v>da</v>
      </c>
    </row>
    <row r="9" spans="2:16" x14ac:dyDescent="0.35">
      <c r="B9" t="s">
        <v>10</v>
      </c>
      <c r="C9" t="s">
        <v>11</v>
      </c>
      <c r="D9" t="s">
        <v>9</v>
      </c>
      <c r="E9">
        <v>94</v>
      </c>
      <c r="F9" t="str">
        <f>IF(E9&gt;50, "da", "ne")</f>
        <v>da</v>
      </c>
    </row>
    <row r="10" spans="2:16" x14ac:dyDescent="0.35">
      <c r="B10" t="s">
        <v>41</v>
      </c>
      <c r="C10" t="s">
        <v>42</v>
      </c>
      <c r="D10" t="s">
        <v>15</v>
      </c>
      <c r="E10">
        <v>26</v>
      </c>
      <c r="F10" t="str">
        <f>IF(E10&gt;50, "da", "ne")</f>
        <v>ne</v>
      </c>
      <c r="H10" s="2" t="s">
        <v>2</v>
      </c>
      <c r="I10" t="s">
        <v>6</v>
      </c>
      <c r="J10" t="s">
        <v>66</v>
      </c>
      <c r="K10" t="s">
        <v>73</v>
      </c>
      <c r="L10" t="s">
        <v>72</v>
      </c>
    </row>
    <row r="11" spans="2:16" x14ac:dyDescent="0.35">
      <c r="B11" t="s">
        <v>13</v>
      </c>
      <c r="C11" t="s">
        <v>14</v>
      </c>
      <c r="D11" t="s">
        <v>12</v>
      </c>
      <c r="E11">
        <v>44</v>
      </c>
      <c r="F11" t="str">
        <f>IF(E11&gt;50, "da", "ne")</f>
        <v>ne</v>
      </c>
      <c r="H11" s="3" t="s">
        <v>9</v>
      </c>
      <c r="I11" s="4">
        <v>9</v>
      </c>
      <c r="J11" s="1">
        <v>58.222222222222221</v>
      </c>
      <c r="K11" s="4">
        <v>94</v>
      </c>
      <c r="L11" s="4">
        <v>34</v>
      </c>
      <c r="O11" s="5" t="s">
        <v>73</v>
      </c>
      <c r="P11" s="5" t="s">
        <v>72</v>
      </c>
    </row>
    <row r="12" spans="2:16" x14ac:dyDescent="0.35">
      <c r="B12" t="s">
        <v>16</v>
      </c>
      <c r="C12" t="s">
        <v>17</v>
      </c>
      <c r="D12" t="s">
        <v>15</v>
      </c>
      <c r="E12">
        <v>34</v>
      </c>
      <c r="F12" t="str">
        <f>IF(E12&gt;50, "da", "ne")</f>
        <v>ne</v>
      </c>
      <c r="H12" s="3" t="s">
        <v>12</v>
      </c>
      <c r="I12" s="4">
        <v>12</v>
      </c>
      <c r="J12" s="1">
        <v>66.5</v>
      </c>
      <c r="K12" s="4">
        <v>100</v>
      </c>
      <c r="L12" s="4">
        <v>36</v>
      </c>
      <c r="O12" s="4">
        <v>94</v>
      </c>
      <c r="P12" s="4">
        <v>34</v>
      </c>
    </row>
    <row r="13" spans="2:16" x14ac:dyDescent="0.35">
      <c r="B13" t="s">
        <v>43</v>
      </c>
      <c r="C13" t="s">
        <v>44</v>
      </c>
      <c r="D13" t="s">
        <v>12</v>
      </c>
      <c r="E13">
        <v>86</v>
      </c>
      <c r="F13" t="str">
        <f>IF(E13&gt;50, "da", "ne")</f>
        <v>da</v>
      </c>
      <c r="H13" s="3" t="s">
        <v>15</v>
      </c>
      <c r="I13" s="4">
        <v>7</v>
      </c>
      <c r="J13" s="1">
        <v>47.714285714285715</v>
      </c>
      <c r="K13" s="4">
        <v>76</v>
      </c>
      <c r="L13" s="4">
        <v>26</v>
      </c>
      <c r="O13" s="4">
        <v>100</v>
      </c>
      <c r="P13" s="4">
        <v>36</v>
      </c>
    </row>
    <row r="14" spans="2:16" x14ac:dyDescent="0.35">
      <c r="B14" t="s">
        <v>45</v>
      </c>
      <c r="C14" t="s">
        <v>46</v>
      </c>
      <c r="D14" t="s">
        <v>12</v>
      </c>
      <c r="E14">
        <v>90</v>
      </c>
      <c r="F14" t="str">
        <f>IF(E14&gt;50, "da", "ne")</f>
        <v>da</v>
      </c>
      <c r="O14" s="4">
        <v>76</v>
      </c>
      <c r="P14" s="4">
        <v>26</v>
      </c>
    </row>
    <row r="15" spans="2:16" x14ac:dyDescent="0.35">
      <c r="B15" t="s">
        <v>18</v>
      </c>
      <c r="C15" t="s">
        <v>19</v>
      </c>
      <c r="D15" t="s">
        <v>12</v>
      </c>
      <c r="E15">
        <v>67</v>
      </c>
      <c r="F15" t="str">
        <f>IF(E15&gt;50, "da", "ne")</f>
        <v>da</v>
      </c>
    </row>
    <row r="16" spans="2:16" x14ac:dyDescent="0.35">
      <c r="B16" t="s">
        <v>20</v>
      </c>
      <c r="C16" t="s">
        <v>21</v>
      </c>
      <c r="D16" t="s">
        <v>9</v>
      </c>
      <c r="E16">
        <v>42</v>
      </c>
      <c r="F16" t="str">
        <f>IF(E16&gt;50, "da", "ne")</f>
        <v>ne</v>
      </c>
    </row>
    <row r="17" spans="2:8" x14ac:dyDescent="0.35">
      <c r="B17" t="s">
        <v>47</v>
      </c>
      <c r="C17" t="s">
        <v>48</v>
      </c>
      <c r="D17" t="s">
        <v>15</v>
      </c>
      <c r="E17">
        <v>44</v>
      </c>
      <c r="F17" t="str">
        <f>IF(E17&gt;50, "da", "ne")</f>
        <v>ne</v>
      </c>
    </row>
    <row r="18" spans="2:8" x14ac:dyDescent="0.35">
      <c r="B18" t="s">
        <v>22</v>
      </c>
      <c r="C18" t="s">
        <v>23</v>
      </c>
      <c r="D18" t="s">
        <v>12</v>
      </c>
      <c r="E18">
        <v>64</v>
      </c>
      <c r="F18" t="str">
        <f>IF(E18&gt;50, "da", "ne")</f>
        <v>da</v>
      </c>
    </row>
    <row r="19" spans="2:8" x14ac:dyDescent="0.35">
      <c r="B19" t="s">
        <v>24</v>
      </c>
      <c r="C19" t="s">
        <v>25</v>
      </c>
      <c r="D19" t="s">
        <v>15</v>
      </c>
      <c r="E19">
        <v>30</v>
      </c>
      <c r="F19" t="str">
        <f>IF(E19&gt;50, "da", "ne")</f>
        <v>ne</v>
      </c>
    </row>
    <row r="20" spans="2:8" x14ac:dyDescent="0.35">
      <c r="B20" t="s">
        <v>49</v>
      </c>
      <c r="C20" t="s">
        <v>29</v>
      </c>
      <c r="D20" t="s">
        <v>9</v>
      </c>
      <c r="E20">
        <v>57</v>
      </c>
      <c r="F20" t="str">
        <f>IF(E20&gt;50, "da", "ne")</f>
        <v>da</v>
      </c>
    </row>
    <row r="21" spans="2:8" x14ac:dyDescent="0.35">
      <c r="B21" t="s">
        <v>50</v>
      </c>
      <c r="C21" t="s">
        <v>51</v>
      </c>
      <c r="D21" t="s">
        <v>9</v>
      </c>
      <c r="E21">
        <v>43</v>
      </c>
      <c r="F21" t="str">
        <f>IF(E21&gt;50, "da", "ne")</f>
        <v>ne</v>
      </c>
    </row>
    <row r="22" spans="2:8" x14ac:dyDescent="0.35">
      <c r="B22" t="s">
        <v>60</v>
      </c>
      <c r="C22" t="s">
        <v>61</v>
      </c>
      <c r="D22" t="s">
        <v>9</v>
      </c>
      <c r="E22">
        <v>38</v>
      </c>
      <c r="F22" t="str">
        <f>IF(E22&gt;50, "da", "ne")</f>
        <v>ne</v>
      </c>
    </row>
    <row r="23" spans="2:8" x14ac:dyDescent="0.35">
      <c r="B23" t="s">
        <v>52</v>
      </c>
      <c r="C23" t="s">
        <v>53</v>
      </c>
      <c r="D23" t="s">
        <v>12</v>
      </c>
      <c r="E23">
        <v>85</v>
      </c>
      <c r="F23" t="str">
        <f>IF(E23&gt;50, "da", "ne")</f>
        <v>da</v>
      </c>
      <c r="H23" s="5" t="s">
        <v>6</v>
      </c>
    </row>
    <row r="24" spans="2:8" x14ac:dyDescent="0.35">
      <c r="B24" t="s">
        <v>54</v>
      </c>
      <c r="C24" t="s">
        <v>55</v>
      </c>
      <c r="D24" t="s">
        <v>15</v>
      </c>
      <c r="E24">
        <v>76</v>
      </c>
      <c r="F24" t="str">
        <f>IF(E24&gt;50, "da", "ne")</f>
        <v>da</v>
      </c>
      <c r="H24" s="4">
        <v>9</v>
      </c>
    </row>
    <row r="25" spans="2:8" x14ac:dyDescent="0.35">
      <c r="B25" t="s">
        <v>56</v>
      </c>
      <c r="C25" t="s">
        <v>57</v>
      </c>
      <c r="D25" t="s">
        <v>9</v>
      </c>
      <c r="E25">
        <v>34</v>
      </c>
      <c r="F25" t="str">
        <f>IF(E25&gt;50, "da", "ne")</f>
        <v>ne</v>
      </c>
      <c r="H25" s="4">
        <v>12</v>
      </c>
    </row>
    <row r="26" spans="2:8" x14ac:dyDescent="0.35">
      <c r="B26" t="s">
        <v>58</v>
      </c>
      <c r="C26" t="s">
        <v>59</v>
      </c>
      <c r="D26" t="s">
        <v>12</v>
      </c>
      <c r="E26">
        <v>79</v>
      </c>
      <c r="F26" t="str">
        <f>IF(E26&gt;50, "da", "ne")</f>
        <v>da</v>
      </c>
      <c r="H26" s="4">
        <v>7</v>
      </c>
    </row>
    <row r="27" spans="2:8" x14ac:dyDescent="0.35">
      <c r="B27" t="s">
        <v>26</v>
      </c>
      <c r="C27" t="s">
        <v>27</v>
      </c>
      <c r="D27" t="s">
        <v>12</v>
      </c>
      <c r="E27">
        <v>70</v>
      </c>
      <c r="F27" t="str">
        <f>IF(E27&gt;50, "da", "ne")</f>
        <v>da</v>
      </c>
    </row>
    <row r="28" spans="2:8" x14ac:dyDescent="0.35">
      <c r="B28" t="s">
        <v>30</v>
      </c>
      <c r="C28" t="s">
        <v>31</v>
      </c>
      <c r="D28" t="s">
        <v>15</v>
      </c>
      <c r="E28">
        <v>66</v>
      </c>
      <c r="F28" t="str">
        <f>IF(E28&gt;50, "da", "ne")</f>
        <v>da</v>
      </c>
    </row>
    <row r="29" spans="2:8" x14ac:dyDescent="0.35">
      <c r="B29" t="s">
        <v>28</v>
      </c>
      <c r="C29" t="s">
        <v>29</v>
      </c>
      <c r="D29" t="s">
        <v>15</v>
      </c>
      <c r="E29">
        <v>58</v>
      </c>
      <c r="F29" t="str">
        <f>IF(E29&gt;50, "da", "ne")</f>
        <v>da</v>
      </c>
    </row>
    <row r="30" spans="2:8" x14ac:dyDescent="0.35">
      <c r="B30" t="s">
        <v>32</v>
      </c>
      <c r="C30" t="s">
        <v>33</v>
      </c>
      <c r="D30" t="s">
        <v>9</v>
      </c>
      <c r="E30">
        <v>46</v>
      </c>
      <c r="F30" t="str">
        <f>IF(E30&gt;50, "da", "ne")</f>
        <v>ne</v>
      </c>
    </row>
  </sheetData>
  <conditionalFormatting sqref="H17">
    <cfRule type="cellIs" dxfId="4" priority="5" operator="lessThan">
      <formula>50</formula>
    </cfRule>
  </conditionalFormatting>
  <conditionalFormatting sqref="B2:F2 D3:F30">
    <cfRule type="cellIs" dxfId="3" priority="4" operator="lessThan">
      <formula>50</formula>
    </cfRule>
  </conditionalFormatting>
  <conditionalFormatting sqref="B3:C30">
    <cfRule type="expression" dxfId="1" priority="2">
      <formula>"$E3&lt;50"</formula>
    </cfRule>
    <cfRule type="expression" dxfId="0" priority="1">
      <formula>$E3&lt;50</formula>
    </cfRule>
  </conditionalFormatting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Tija Rutar</cp:lastModifiedBy>
  <dcterms:created xsi:type="dcterms:W3CDTF">2007-11-10T02:36:44Z</dcterms:created>
  <dcterms:modified xsi:type="dcterms:W3CDTF">2025-12-08T03:46:54Z</dcterms:modified>
</cp:coreProperties>
</file>